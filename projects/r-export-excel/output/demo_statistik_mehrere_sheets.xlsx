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dex" sheetId="1" state="visible" r:id="rId1"/>
    <sheet name="Bevölkerung" sheetId="2" state="visible" r:id="rId2"/>
    <sheet name="Wirtschaft" sheetId="3" state="visible" r:id="rId3"/>
    <sheet name="Bildung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# ### ##0,00"/>
    <numFmt numFmtId="166" formatCode="# ### ##0,00"/>
    <numFmt numFmtId="167" formatCode="# ### ##0,00"/>
  </numFmts>
  <fonts count="2">
    <font>
      <sz val="11"/>
      <color theme="1"/>
      <name val="Aptos Narrow"/>
      <family val="2"/>
      <scheme val="minor"/>
    </font>
    <font>
      <color rgb="FF0563C1"/>
      <name val="Aptos Narrow"/>
      <sz val="11"/>
      <u val="single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applyFont="1" borderId="0" fillId="0" fontId="1" numFmtId="0" xfId="0"/>
    <xf borderId="0" fillId="0" fontId="0" numFmtId="0" xfId="0"/>
    <xf applyFill="1" borderId="0" fillId="2" fontId="0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able1" displayName="Table1" ref="A4:F12" totalsRowCount="0" totalsRowShown="0">
  <tableColumns count="6">
    <tableColumn id="1" name="Bundesland"/>
    <tableColumn id="2" name="Einwohner_Gesamt"/>
    <tableColumn id="3" name="Einwohner_Maennlich"/>
    <tableColumn id="4" name="Einwohner_Weiblich"/>
    <tableColumn id="5" name="Flaeche_km2"/>
    <tableColumn id="6" name="Dichte_pro_km2"/>
  </tableColumns>
  <tableStyleInfo name="non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id="2" name="Table2" displayName="Table2" ref="A4:H8" totalsRowCount="0" totalsRowShown="0">
  <tableColumns count="8">
    <tableColumn id="1" name="Jahr"/>
    <tableColumn id="2" name="BIP_Nominal"/>
    <tableColumn id="3" name="BIP_Real"/>
    <tableColumn id="4" name="BIP_Wachstum"/>
    <tableColumn id="5" name="Arbeitslose"/>
    <tableColumn id="6" name="Arbeitslosenquote"/>
    <tableColumn id="7" name="Inflation"/>
    <tableColumn id="8" name="Inflation_Energie"/>
  </tableColumns>
  <tableStyleInfo name="non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id="3" name="Table3" displayName="Table3" ref="A4:F10" totalsRowCount="0" totalsRowShown="0">
  <tableColumns count="6">
    <tableColumn id="1" name="Bildungsbereich"/>
    <tableColumn id="2" name="Personal_Mio"/>
    <tableColumn id="3" name="Sachmittel_Mio"/>
    <tableColumn id="4" name="Investitionen_Mio"/>
    <tableColumn id="5" name="Schueler"/>
    <tableColumn id="6" name="Lehrer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40.711"/>
  </cols>
  <sheetData>
    <row customHeight="1" ht="30" r="1">
      <c r="A1" s="2" t="inlineStr">
        <is>
          <t>Inhaltsverzeichnis</t>
        </is>
      </c>
    </row>
    <row r="3">
      <c r="A3" s="1" t="str">
        <f>HYPERLINK("#Bevölkerung!A1", "Bevölkerung")</f>
      </c>
    </row>
    <row r="4">
      <c r="A4" s="1" t="str">
        <f>HYPERLINK("#Wirtschaft!A1", "Wirtschaft")</f>
      </c>
    </row>
    <row r="5">
      <c r="A5" s="1" t="str">
        <f>HYPERLINK("#Bildung!A1", "Bildung")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0" workbookViewId="0" zoomScale="100">
      <pane ySplit="5" xSplit="1" topLeftCell="B6" activePane="bottomRight" state="frozen"/>
      <selection pane="bottomRight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  <col min="3" max="3" bestFit="1" customWidth="1" hidden="false" width="20.711"/>
    <col min="4" max="4" bestFit="1" customWidth="1" hidden="false" width="19.711"/>
    <col min="5" max="5" bestFit="1" customWidth="1" hidden="false" width="12.711"/>
    <col min="6" max="6" bestFit="1" customWidth="1" hidden="false" width="15.711"/>
  </cols>
  <sheetData>
    <row r="1">
      <c r="A1" s="1" t="str">
        <f>HYPERLINK("#Index!A1", "← Zurück zum Inhaltsverzeichnis")</f>
      </c>
    </row>
    <row customHeight="1" ht="25" r="2">
      <c r="A2" s="2" t="inlineStr">
        <is>
          <t>Bevölkerungsstatistik nach Bundesländern</t>
        </is>
      </c>
      <c r="B2" s="2"/>
      <c r="C2" s="2"/>
      <c r="D2" s="2"/>
      <c r="E2" s="2"/>
      <c r="F2" s="2"/>
    </row>
    <row r="3">
      <c r="A3" s="3" t="inlineStr">
        <is>
          <t>Verwaltung</t>
        </is>
      </c>
      <c r="B3" s="3" t="inlineStr">
        <is>
          <t>Bevölkerung</t>
        </is>
      </c>
      <c r="C3" s="3"/>
      <c r="D3" s="3"/>
      <c r="E3" s="3" t="inlineStr">
        <is>
          <t>Geographie</t>
        </is>
      </c>
      <c r="F3" s="3"/>
    </row>
    <row r="4">
      <c r="A4" s="3" t="inlineStr">
        <is>
          <t>Bundesland</t>
        </is>
      </c>
      <c r="B4" s="3" t="inlineStr">
        <is>
          <t>Einwohner_Gesamt</t>
        </is>
      </c>
      <c r="C4" s="3" t="inlineStr">
        <is>
          <t>Einwohner_Maennlich</t>
        </is>
      </c>
      <c r="D4" s="3" t="inlineStr">
        <is>
          <t>Einwohner_Weiblich</t>
        </is>
      </c>
      <c r="E4" s="3" t="inlineStr">
        <is>
          <t>Flaeche_km2</t>
        </is>
      </c>
      <c r="F4" s="3" t="inlineStr">
        <is>
          <t>Dichte_pro_km2</t>
        </is>
      </c>
    </row>
    <row r="5">
      <c r="A5" s="4" t="inlineStr">
        <is>
          <t>Baden-Württemberg</t>
        </is>
      </c>
      <c r="B5" s="4">
        <v>11280257</v>
      </c>
      <c r="C5" s="4">
        <v>5589321</v>
      </c>
      <c r="D5" s="4">
        <v>5690936</v>
      </c>
      <c r="E5" s="4">
        <v>35748</v>
      </c>
      <c r="F5" s="4">
        <v>315.5</v>
      </c>
    </row>
    <row r="6">
      <c r="A6" s="4" t="inlineStr">
        <is>
          <t>Bayern</t>
        </is>
      </c>
      <c r="B6" s="4">
        <v>13369393</v>
      </c>
      <c r="C6" s="4">
        <v>6631044</v>
      </c>
      <c r="D6" s="4">
        <v>6738349</v>
      </c>
      <c r="E6" s="4">
        <v>70541</v>
      </c>
      <c r="F6" s="4">
        <v>189.5</v>
      </c>
    </row>
    <row r="7">
      <c r="A7" s="4" t="inlineStr">
        <is>
          <t>Berlin</t>
        </is>
      </c>
      <c r="B7" s="4">
        <v>3769495</v>
      </c>
      <c r="C7" s="4">
        <v>1864218</v>
      </c>
      <c r="D7" s="4">
        <v>1905277</v>
      </c>
      <c r="E7" s="4">
        <v>892</v>
      </c>
      <c r="F7" s="4">
        <v>4227.1</v>
      </c>
    </row>
    <row r="8">
      <c r="A8" s="4" t="inlineStr">
        <is>
          <t>Brandenburg</t>
        </is>
      </c>
      <c r="B8" s="4">
        <v>2573138</v>
      </c>
      <c r="C8" s="4">
        <v>1283629</v>
      </c>
      <c r="D8" s="4">
        <v>1289509</v>
      </c>
      <c r="E8" s="4">
        <v>29654</v>
      </c>
      <c r="F8" s="4">
        <v>86.8</v>
      </c>
    </row>
    <row r="9">
      <c r="A9" s="4" t="inlineStr">
        <is>
          <t>Bremen</t>
        </is>
      </c>
      <c r="B9" s="4">
        <v>676463</v>
      </c>
      <c r="C9" s="4">
        <v>333912</v>
      </c>
      <c r="D9" s="4">
        <v>342551</v>
      </c>
      <c r="E9" s="4">
        <v>420</v>
      </c>
      <c r="F9" s="4">
        <v>1610.6</v>
      </c>
    </row>
    <row r="10">
      <c r="A10" s="4" t="inlineStr">
        <is>
          <t>Hamburg</t>
        </is>
      </c>
      <c r="B10" s="4">
        <v>1906411</v>
      </c>
      <c r="C10" s="4">
        <v>950287</v>
      </c>
      <c r="D10" s="4">
        <v>956124</v>
      </c>
      <c r="E10" s="4">
        <v>755</v>
      </c>
      <c r="F10" s="4">
        <v>2525.3</v>
      </c>
    </row>
    <row r="11">
      <c r="A11" s="4" t="inlineStr">
        <is>
          <t>Hessen</t>
        </is>
      </c>
      <c r="B11" s="4">
        <v>6391360</v>
      </c>
      <c r="C11" s="4">
        <v>3168234</v>
      </c>
      <c r="D11" s="4">
        <v>3223126</v>
      </c>
      <c r="E11" s="4">
        <v>21116</v>
      </c>
      <c r="F11" s="4">
        <v>302.6</v>
      </c>
    </row>
    <row r="12">
      <c r="A12" s="4" t="inlineStr">
        <is>
          <t>Niedersachsen</t>
        </is>
      </c>
      <c r="B12" s="4">
        <v>8140242</v>
      </c>
      <c r="C12" s="4">
        <v>4042628</v>
      </c>
      <c r="D12" s="4">
        <v>4097614</v>
      </c>
      <c r="E12" s="4">
        <v>47710</v>
      </c>
      <c r="F12" s="4">
        <v>170.6</v>
      </c>
    </row>
  </sheetData>
  <mergeCells count="3">
    <mergeCell ref="A2:F2"/>
    <mergeCell ref="B3:D3"/>
    <mergeCell ref="E3:F3"/>
  </mergeCells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showGridLines="1" showRowColHeaders="1" tabSelected="0" workbookViewId="0" zoomScale="100">
      <pane ySplit="5" xSplit="1" topLeftCell="B6" activePane="bottomRight" state="frozen"/>
      <selection pane="bottomRight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2.711"/>
    <col min="3" max="3" bestFit="1" customWidth="1" hidden="false" width="9.711"/>
    <col min="4" max="4" bestFit="1" customWidth="1" hidden="false" width="13.711"/>
    <col min="5" max="5" bestFit="1" customWidth="1" hidden="false" width="12.711"/>
    <col min="6" max="6" bestFit="1" customWidth="1" hidden="false" width="18.711"/>
    <col min="7" max="7" bestFit="1" customWidth="1" hidden="false" width="10.711"/>
    <col min="8" max="8" bestFit="1" customWidth="1" hidden="false" width="18.711"/>
  </cols>
  <sheetData>
    <row r="1">
      <c r="A1" s="1" t="str">
        <f>HYPERLINK("#Index!A1", "← Zurück zum Inhaltsverzeichnis")</f>
      </c>
    </row>
    <row customHeight="1" ht="25" r="2">
      <c r="A2" s="2" t="inlineStr">
        <is>
          <t>Wirtschaftsindikatoren Deutschland</t>
        </is>
      </c>
      <c r="B2" s="2"/>
      <c r="C2" s="2"/>
      <c r="D2" s="2"/>
      <c r="E2" s="2"/>
      <c r="F2" s="2"/>
      <c r="G2" s="2"/>
      <c r="H2" s="2"/>
    </row>
    <row r="3">
      <c r="A3" s="3" t="inlineStr">
        <is>
          <t>Zeitraum</t>
        </is>
      </c>
      <c r="B3" s="3" t="inlineStr">
        <is>
          <t>Bruttoinlandsprodukt (Mrd. €)</t>
        </is>
      </c>
      <c r="C3" s="3"/>
      <c r="D3" s="3"/>
      <c r="E3" s="3" t="inlineStr">
        <is>
          <t>Arbeitsmarkt</t>
        </is>
      </c>
      <c r="F3" s="3"/>
      <c r="G3" s="3" t="inlineStr">
        <is>
          <t>Inflation (%)</t>
        </is>
      </c>
      <c r="H3" s="3"/>
    </row>
    <row r="4">
      <c r="A4" s="3" t="inlineStr">
        <is>
          <t>Jahr</t>
        </is>
      </c>
      <c r="B4" s="3" t="inlineStr">
        <is>
          <t>BIP_Nominal</t>
        </is>
      </c>
      <c r="C4" s="3" t="inlineStr">
        <is>
          <t>BIP_Real</t>
        </is>
      </c>
      <c r="D4" s="3" t="inlineStr">
        <is>
          <t>BIP_Wachstum</t>
        </is>
      </c>
      <c r="E4" s="3" t="inlineStr">
        <is>
          <t>Arbeitslose</t>
        </is>
      </c>
      <c r="F4" s="3" t="inlineStr">
        <is>
          <t>Arbeitslosenquote</t>
        </is>
      </c>
      <c r="G4" s="3" t="inlineStr">
        <is>
          <t>Inflation</t>
        </is>
      </c>
      <c r="H4" s="3" t="inlineStr">
        <is>
          <t>Inflation_Energie</t>
        </is>
      </c>
    </row>
    <row r="5">
      <c r="A5" s="5">
        <v>2020</v>
      </c>
      <c r="B5" s="5">
        <v>3332</v>
      </c>
      <c r="C5" s="5">
        <v>3280.5</v>
      </c>
      <c r="D5" s="5">
        <v>-3.8</v>
      </c>
      <c r="E5" s="5">
        <v>2695000</v>
      </c>
      <c r="F5" s="5">
        <v>5.9</v>
      </c>
      <c r="G5" s="5">
        <v>0.5</v>
      </c>
      <c r="H5" s="5">
        <v>-5.2</v>
      </c>
    </row>
    <row r="6">
      <c r="A6" s="5">
        <v>2021</v>
      </c>
      <c r="B6" s="5">
        <v>3617.5</v>
      </c>
      <c r="C6" s="5">
        <v>3385.1</v>
      </c>
      <c r="D6" s="5">
        <v>3.2</v>
      </c>
      <c r="E6" s="5">
        <v>2613000</v>
      </c>
      <c r="F6" s="5">
        <v>5.7</v>
      </c>
      <c r="G6" s="5">
        <v>3.1</v>
      </c>
      <c r="H6" s="5">
        <v>4.5</v>
      </c>
    </row>
    <row r="7">
      <c r="A7" s="5">
        <v>2022</v>
      </c>
      <c r="B7" s="5">
        <v>3876.8</v>
      </c>
      <c r="C7" s="5">
        <v>3445.8</v>
      </c>
      <c r="D7" s="5">
        <v>1.8</v>
      </c>
      <c r="E7" s="5">
        <v>2418000</v>
      </c>
      <c r="F7" s="5">
        <v>5.3</v>
      </c>
      <c r="G7" s="5">
        <v>6.9</v>
      </c>
      <c r="H7" s="5">
        <v>34.7</v>
      </c>
    </row>
    <row r="8">
      <c r="A8" s="5">
        <v>2023</v>
      </c>
      <c r="B8" s="5">
        <v>4121.2</v>
      </c>
      <c r="C8" s="5">
        <v>3435.5</v>
      </c>
      <c r="D8" s="5">
        <v>-0.3</v>
      </c>
      <c r="E8" s="5">
        <v>2607000</v>
      </c>
      <c r="F8" s="5">
        <v>5.7</v>
      </c>
      <c r="G8" s="5">
        <v>5.9</v>
      </c>
      <c r="H8" s="5">
        <v>-2.7</v>
      </c>
    </row>
  </sheetData>
  <mergeCells count="4">
    <mergeCell ref="A2:H2"/>
    <mergeCell ref="B3:D3"/>
    <mergeCell ref="E3:F3"/>
    <mergeCell ref="G3:H3"/>
  </mergeCells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0" workbookViewId="0" zoomScale="100">
      <pane ySplit="5" xSplit="1" topLeftCell="B6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13.711"/>
    <col min="3" max="3" bestFit="1" customWidth="1" hidden="false" width="15.711"/>
    <col min="4" max="4" bestFit="1" customWidth="1" hidden="false" width="18.711"/>
    <col min="5" max="5" bestFit="1" customWidth="1" hidden="false" width="9.711"/>
    <col min="6" max="6" bestFit="1" customWidth="1" hidden="false" width="7.711"/>
  </cols>
  <sheetData>
    <row r="1">
      <c r="A1" s="1" t="str">
        <f>HYPERLINK("#Index!A1", "← Zurück zum Inhaltsverzeichnis")</f>
      </c>
    </row>
    <row customHeight="1" ht="25" r="2">
      <c r="A2" s="2" t="inlineStr">
        <is>
          <t>Bildungsausgaben nach Bereichen</t>
        </is>
      </c>
      <c r="B2" s="2"/>
      <c r="C2" s="2"/>
      <c r="D2" s="2"/>
      <c r="E2" s="2"/>
      <c r="F2" s="2"/>
    </row>
    <row r="3">
      <c r="A3" s="3" t="inlineStr">
        <is>
          <t>Bereich</t>
        </is>
      </c>
      <c r="B3" s="3" t="inlineStr">
        <is>
          <t>Ausgaben (Mio. €)</t>
        </is>
      </c>
      <c r="C3" s="3"/>
      <c r="D3" s="3"/>
      <c r="E3" s="3" t="inlineStr">
        <is>
          <t>Personen</t>
        </is>
      </c>
      <c r="F3" s="3"/>
    </row>
    <row r="4">
      <c r="A4" s="3" t="inlineStr">
        <is>
          <t>Bildungsbereich</t>
        </is>
      </c>
      <c r="B4" s="3" t="inlineStr">
        <is>
          <t>Personal_Mio</t>
        </is>
      </c>
      <c r="C4" s="3" t="inlineStr">
        <is>
          <t>Sachmittel_Mio</t>
        </is>
      </c>
      <c r="D4" s="3" t="inlineStr">
        <is>
          <t>Investitionen_Mio</t>
        </is>
      </c>
      <c r="E4" s="3" t="inlineStr">
        <is>
          <t>Schueler</t>
        </is>
      </c>
      <c r="F4" s="3" t="inlineStr">
        <is>
          <t>Lehrer</t>
        </is>
      </c>
    </row>
    <row r="5">
      <c r="A5" s="6" t="inlineStr">
        <is>
          <t>Kindergärten</t>
        </is>
      </c>
      <c r="B5" s="6">
        <v>4521.3</v>
      </c>
      <c r="C5" s="6">
        <v>2134.7</v>
      </c>
      <c r="D5" s="6">
        <v>1794.5</v>
      </c>
      <c r="E5" s="6">
        <v>745200</v>
      </c>
      <c r="F5" s="6">
        <v>52340</v>
      </c>
    </row>
    <row r="6">
      <c r="A6" s="6" t="inlineStr">
        <is>
          <t>Grundschulen</t>
        </is>
      </c>
      <c r="B6" s="6">
        <v>8234.5</v>
      </c>
      <c r="C6" s="6">
        <v>4123.8</v>
      </c>
      <c r="D6" s="6">
        <v>2872.5</v>
      </c>
      <c r="E6" s="6">
        <v>2834500</v>
      </c>
      <c r="F6" s="6">
        <v>198230</v>
      </c>
    </row>
    <row r="7">
      <c r="A7" s="6" t="inlineStr">
        <is>
          <t>Weiterführende Schulen</t>
        </is>
      </c>
      <c r="B7" s="6">
        <v>12456.8</v>
      </c>
      <c r="C7" s="6">
        <v>6234.1</v>
      </c>
      <c r="D7" s="6">
        <v>3876.4</v>
      </c>
      <c r="E7" s="6">
        <v>8456300</v>
      </c>
      <c r="F7" s="6">
        <v>534200</v>
      </c>
    </row>
    <row r="8">
      <c r="A8" s="6" t="inlineStr">
        <is>
          <t>Berufsschulen</t>
        </is>
      </c>
      <c r="B8" s="6">
        <v>3124.6</v>
      </c>
      <c r="C8" s="6">
        <v>1678.9</v>
      </c>
      <c r="D8" s="6">
        <v>1088.6</v>
      </c>
      <c r="E8" s="6">
        <v>2567800</v>
      </c>
      <c r="F8" s="6">
        <v>89450</v>
      </c>
    </row>
    <row r="9">
      <c r="A9" s="6" t="inlineStr">
        <is>
          <t>Hochschulen</t>
        </is>
      </c>
      <c r="B9" s="6">
        <v>18234.2</v>
      </c>
      <c r="C9" s="6">
        <v>9123.4</v>
      </c>
      <c r="D9" s="6">
        <v>4793.3</v>
      </c>
      <c r="E9" s="6">
        <v>2948600</v>
      </c>
      <c r="F9" s="6">
        <v>412300</v>
      </c>
    </row>
    <row r="10">
      <c r="A10" s="6" t="inlineStr">
        <is>
          <t>Erwachsenenbildung</t>
        </is>
      </c>
      <c r="B10" s="6">
        <v>1245.8</v>
      </c>
      <c r="C10" s="6">
        <v>678.3</v>
      </c>
      <c r="D10" s="6">
        <v>416.6</v>
      </c>
      <c r="E10" s="6">
        <v>156700</v>
      </c>
      <c r="F10" s="6">
        <v>12450</v>
      </c>
    </row>
  </sheetData>
  <mergeCells count="3">
    <mergeCell ref="A2:F2"/>
    <mergeCell ref="B3:D3"/>
    <mergeCell ref="E3:F3"/>
  </mergeCells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2025-12-17T09:16:22Z</dcterms:created>
  <dcterms:modified xsi:type="dcterms:W3CDTF">2025-12-17T09:16:22Z</dcterms:modified>
  <cp:lastModifiedBy>oli</cp:lastModifiedBy>
</cp:coreProperties>
</file>